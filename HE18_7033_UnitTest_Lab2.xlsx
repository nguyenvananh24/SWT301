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 University\SWT301\"/>
    </mc:Choice>
  </mc:AlternateContent>
  <xr:revisionPtr revIDLastSave="0" documentId="13_ncr:1_{9426B0CA-9448-40D5-802C-7A3DA0F49413}" xr6:coauthVersionLast="47" xr6:coauthVersionMax="47" xr10:uidLastSave="{00000000-0000-0000-0000-000000000000}"/>
  <bookViews>
    <workbookView xWindow="2544" yWindow="2544" windowWidth="17280" windowHeight="9900" activeTab="1" xr2:uid="{55A8934D-0C23-422A-9E13-7D2C12DE0672}"/>
  </bookViews>
  <sheets>
    <sheet name="Function List" sheetId="1" r:id="rId1"/>
    <sheet name="RegisterAccount()" sheetId="2" r:id="rId2"/>
  </sheets>
  <definedNames>
    <definedName name="RegisterAccount">'Function List'!$F$11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N7" i="2"/>
  <c r="M7" i="2"/>
  <c r="L7" i="2"/>
  <c r="C7" i="2"/>
  <c r="A7" i="2"/>
  <c r="F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E5C9B77-2D7E-46EA-AB7A-E63063DAB98D}">
      <text>
        <r>
          <rPr>
            <sz val="8"/>
            <rFont val="Tahoma"/>
          </rPr>
          <t xml:space="preserve">Not mandatory
</t>
        </r>
      </text>
    </comment>
    <comment ref="C10" authorId="1" shapeId="0" xr:uid="{07E48D57-63C7-4E84-873B-9AA7B25AA9F4}">
      <text>
        <r>
          <rPr>
            <sz val="8"/>
            <rFont val="Tahoma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<sst xmlns="http://schemas.openxmlformats.org/spreadsheetml/2006/main" count="112" uniqueCount="71">
  <si>
    <t>Function List</t>
  </si>
  <si>
    <t>Project Name</t>
  </si>
  <si>
    <t>Account service</t>
  </si>
  <si>
    <t>Project Code</t>
  </si>
  <si>
    <t>account-service-junit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</si>
  <si>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</si>
  <si>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</si>
  <si>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</si>
  <si>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</si>
  <si>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</si>
  <si>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</si>
  <si>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</si>
  <si>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</si>
  <si>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</si>
  <si>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</si>
  <si>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Class1</t>
  </si>
  <si>
    <t>registerAccount()</t>
  </si>
  <si>
    <t>Function Code</t>
  </si>
  <si>
    <t>FC01</t>
  </si>
  <si>
    <t>registerAccount</t>
  </si>
  <si>
    <t>Created By</t>
  </si>
  <si>
    <t>Executed By</t>
  </si>
  <si>
    <t>Lines  of code</t>
  </si>
  <si>
    <t>Lack of test cases</t>
  </si>
  <si>
    <t>Test requirement</t>
  </si>
  <si>
    <t>none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</si>
  <si>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</si>
  <si>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</si>
  <si>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</si>
  <si>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</si>
  <si>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</si>
  <si>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</si>
  <si>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</si>
  <si>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</si>
  <si>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</si>
  <si>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</si>
  <si>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</si>
  <si>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</si>
  <si>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None</t>
  </si>
  <si>
    <t>Username</t>
  </si>
  <si>
    <t>'john123'</t>
  </si>
  <si>
    <t>O</t>
  </si>
  <si>
    <t>null</t>
  </si>
  <si>
    <t>'alice'</t>
  </si>
  <si>
    <t>'bob123'</t>
  </si>
  <si>
    <t>'carol'</t>
  </si>
  <si>
    <t>Password</t>
  </si>
  <si>
    <t>'pass123'</t>
  </si>
  <si>
    <t>'short'</t>
  </si>
  <si>
    <t>'password'</t>
  </si>
  <si>
    <t>Email</t>
  </si>
  <si>
    <t>'john@example.com'</t>
  </si>
  <si>
    <t>'alice@mail.com'</t>
  </si>
  <si>
    <t>'bobmail.com'</t>
  </si>
  <si>
    <t>'carol@domain.com'</t>
  </si>
  <si>
    <t>Confirm</t>
  </si>
  <si>
    <t>Return</t>
  </si>
  <si>
    <t>T</t>
  </si>
  <si>
    <t>F</t>
  </si>
  <si>
    <t>Expectation</t>
  </si>
  <si>
    <t>Result</t>
  </si>
  <si>
    <t>Type(N : Normal, A : Abnormal, B : Boundary)</t>
  </si>
  <si>
    <t>N</t>
  </si>
  <si>
    <t>Passed/Failed</t>
  </si>
  <si>
    <t>P</t>
  </si>
  <si>
    <t>Executed Date</t>
  </si>
  <si>
    <t>19/01/2026</t>
  </si>
  <si>
    <t>Defect ID</t>
  </si>
  <si>
    <t>Junit</t>
  </si>
  <si>
    <t>RegisterAccount()</t>
  </si>
  <si>
    <t>Nguyen Thi Van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</si>
</sst>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;@"/>
    <numFmt numFmtId="165" formatCode="[$-409]h:mm:ss\ AM/PM;@"/>
    <numFmt numFmtId="166" formatCode="mm/dd"/>
  </numFmts>
  <fonts count="2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b/>
      <sz val="2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b/>
      <sz val="10"/>
      <color indexed="9"/>
      <name val="Tahoma"/>
      <family val="2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Tahoma"/>
      <family val="2"/>
    </font>
    <font>
      <sz val="11"/>
      <name val="ＭＳ Ｐゴシック"/>
      <charset val="128"/>
    </font>
    <font>
      <b/>
      <sz val="8"/>
      <name val="Tahoma"/>
    </font>
    <font>
      <i/>
      <sz val="8"/>
      <name val="Tahoma"/>
      <family val="2"/>
    </font>
    <font>
      <i/>
      <sz val="8"/>
      <name val="Tahoma"/>
    </font>
    <font>
      <sz val="8"/>
      <name val="Tahoma"/>
      <family val="2"/>
    </font>
    <font>
      <sz val="8"/>
      <name val="Tahoma"/>
    </font>
    <font>
      <b/>
      <sz val="10"/>
      <color indexed="9"/>
      <name val="Tahoma"/>
    </font>
    <font>
      <b/>
      <sz val="8"/>
      <color indexed="9"/>
      <name val="Tahoma"/>
    </font>
    <font>
      <sz val="8"/>
      <color indexed="9"/>
      <name val="Tahoma"/>
    </font>
    <font>
      <b/>
      <sz val="12"/>
      <name val="Tahoma"/>
    </font>
    <font>
      <sz val="11"/>
      <name val="Tahoma"/>
    </font>
    <font>
      <sz val="8"/>
      <color indexed="17"/>
      <name val="Tahoma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6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 style="hair">
        <color indexed="8"/>
      </right>
      <top style="double">
        <color auto="1"/>
      </top>
      <bottom style="medium">
        <color indexed="9"/>
      </bottom>
      <diagonal/>
    </border>
    <border>
      <left/>
      <right/>
      <top style="double">
        <color auto="1"/>
      </top>
      <bottom style="medium">
        <color indexed="9"/>
      </bottom>
      <diagonal/>
    </border>
    <border>
      <left/>
      <right style="double">
        <color auto="1"/>
      </right>
      <top style="double">
        <color auto="1"/>
      </top>
      <bottom style="medium">
        <color indexed="9"/>
      </bottom>
      <diagonal/>
    </border>
    <border>
      <left style="double">
        <color auto="1"/>
      </left>
      <right style="thin">
        <color auto="1"/>
      </right>
      <top style="medium">
        <color indexed="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>
      <alignment vertical="center"/>
    </xf>
    <xf numFmtId="0" fontId="11" fillId="0" borderId="0" applyNumberFormat="0" applyFill="0" applyBorder="0" applyAlignment="0" applyProtection="0"/>
    <xf numFmtId="0" fontId="13" fillId="0" borderId="0"/>
    <xf numFmtId="0" fontId="13" fillId="0" borderId="0"/>
  </cellStyleXfs>
  <cellXfs count="151">
    <xf numFmtId="0" fontId="0" fillId="0" borderId="0" xfId="0"/>
    <xf numFmtId="0" fontId="0" fillId="0" borderId="0" xfId="0" applyAlignment="1">
      <alignment vertical="center"/>
    </xf>
    <xf numFmtId="1" fontId="3" fillId="2" borderId="0" xfId="2" applyNumberFormat="1" applyFont="1" applyFill="1" applyProtection="1">
      <protection hidden="1"/>
    </xf>
    <xf numFmtId="0" fontId="2" fillId="0" borderId="0" xfId="3">
      <alignment vertical="center"/>
    </xf>
    <xf numFmtId="0" fontId="4" fillId="2" borderId="0" xfId="2" applyFont="1" applyFill="1" applyAlignment="1">
      <alignment horizontal="left"/>
    </xf>
    <xf numFmtId="0" fontId="5" fillId="2" borderId="0" xfId="2" applyFont="1" applyFill="1" applyAlignment="1">
      <alignment horizontal="left"/>
    </xf>
    <xf numFmtId="0" fontId="6" fillId="2" borderId="0" xfId="2" applyFont="1" applyFill="1" applyAlignment="1">
      <alignment horizontal="left"/>
    </xf>
    <xf numFmtId="0" fontId="8" fillId="2" borderId="1" xfId="2" applyFont="1" applyFill="1" applyBorder="1" applyAlignment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1" fontId="9" fillId="2" borderId="0" xfId="2" applyNumberFormat="1" applyFont="1" applyFill="1"/>
    <xf numFmtId="0" fontId="3" fillId="2" borderId="0" xfId="2" applyFont="1" applyFill="1"/>
    <xf numFmtId="0" fontId="3" fillId="2" borderId="0" xfId="2" applyFont="1" applyFill="1" applyAlignment="1">
      <alignment wrapText="1"/>
    </xf>
    <xf numFmtId="1" fontId="3" fillId="2" borderId="0" xfId="2" applyNumberFormat="1" applyFont="1" applyFill="1" applyAlignment="1" applyProtection="1">
      <alignment vertical="center"/>
      <protection hidden="1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 wrapText="1"/>
    </xf>
    <xf numFmtId="1" fontId="10" fillId="3" borderId="5" xfId="2" applyNumberFormat="1" applyFont="1" applyFill="1" applyBorder="1" applyAlignment="1">
      <alignment horizontal="center" vertical="center"/>
    </xf>
    <xf numFmtId="1" fontId="10" fillId="3" borderId="6" xfId="2" applyNumberFormat="1" applyFont="1" applyFill="1" applyBorder="1" applyAlignment="1">
      <alignment horizontal="center" vertical="center" wrapText="1"/>
    </xf>
    <xf numFmtId="1" fontId="10" fillId="3" borderId="6" xfId="2" applyNumberFormat="1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/>
    </xf>
    <xf numFmtId="0" fontId="10" fillId="3" borderId="9" xfId="2" applyFont="1" applyFill="1" applyBorder="1" applyAlignment="1">
      <alignment horizontal="center" vertical="center"/>
    </xf>
    <xf numFmtId="1" fontId="3" fillId="2" borderId="10" xfId="2" applyNumberFormat="1" applyFont="1" applyFill="1" applyBorder="1" applyAlignment="1">
      <alignment horizontal="center" vertical="center"/>
    </xf>
    <xf numFmtId="1" fontId="3" fillId="2" borderId="11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horizontal="left" vertical="center"/>
    </xf>
    <xf numFmtId="49" fontId="3" fillId="2" borderId="12" xfId="2" applyNumberFormat="1" applyFont="1" applyFill="1" applyBorder="1" applyAlignment="1">
      <alignment horizontal="left" vertical="center" wrapText="1"/>
    </xf>
    <xf numFmtId="0" fontId="1" fillId="2" borderId="12" xfId="1" applyNumberFormat="1" applyFill="1" applyBorder="1" applyAlignment="1" applyProtection="1">
      <alignment horizontal="left" vertical="center"/>
    </xf>
    <xf numFmtId="0" fontId="12" fillId="2" borderId="12" xfId="4" applyNumberFormat="1" applyFont="1" applyFill="1" applyBorder="1" applyAlignment="1" applyProtection="1">
      <alignment horizontal="left" vertical="center"/>
    </xf>
    <xf numFmtId="0" fontId="3" fillId="2" borderId="13" xfId="2" applyFont="1" applyFill="1" applyBorder="1" applyAlignment="1">
      <alignment horizontal="left" vertical="center"/>
    </xf>
    <xf numFmtId="0" fontId="3" fillId="2" borderId="12" xfId="2" applyFont="1" applyFill="1" applyBorder="1" applyAlignment="1">
      <alignment horizontal="left" vertical="center"/>
    </xf>
    <xf numFmtId="1" fontId="3" fillId="2" borderId="14" xfId="2" applyNumberFormat="1" applyFont="1" applyFill="1" applyBorder="1" applyAlignment="1">
      <alignment horizontal="center" vertical="center"/>
    </xf>
    <xf numFmtId="1" fontId="3" fillId="2" borderId="15" xfId="2" applyNumberFormat="1" applyFont="1" applyFill="1" applyBorder="1" applyAlignment="1">
      <alignment vertical="center"/>
    </xf>
    <xf numFmtId="49" fontId="3" fillId="2" borderId="16" xfId="2" applyNumberFormat="1" applyFont="1" applyFill="1" applyBorder="1" applyAlignment="1">
      <alignment horizontal="left" vertical="center"/>
    </xf>
    <xf numFmtId="49" fontId="3" fillId="2" borderId="16" xfId="2" applyNumberFormat="1" applyFont="1" applyFill="1" applyBorder="1" applyAlignment="1">
      <alignment horizontal="left" vertical="center" wrapText="1"/>
    </xf>
    <xf numFmtId="0" fontId="3" fillId="2" borderId="16" xfId="2" applyFont="1" applyFill="1" applyBorder="1" applyAlignment="1">
      <alignment horizontal="left" vertical="center"/>
    </xf>
    <xf numFmtId="0" fontId="3" fillId="2" borderId="17" xfId="2" applyFont="1" applyFill="1" applyBorder="1" applyAlignment="1">
      <alignment horizontal="left" vertical="center"/>
    </xf>
    <xf numFmtId="0" fontId="18" fillId="0" borderId="0" xfId="6" applyFont="1"/>
    <xf numFmtId="0" fontId="16" fillId="2" borderId="2" xfId="5" applyFont="1" applyFill="1" applyBorder="1" applyAlignment="1">
      <alignment horizontal="left" wrapText="1"/>
    </xf>
    <xf numFmtId="0" fontId="18" fillId="2" borderId="44" xfId="6" applyFont="1" applyFill="1" applyBorder="1" applyAlignment="1">
      <alignment horizontal="center" vertical="center"/>
    </xf>
    <xf numFmtId="0" fontId="18" fillId="0" borderId="46" xfId="6" applyFont="1" applyBorder="1"/>
    <xf numFmtId="0" fontId="14" fillId="0" borderId="0" xfId="6" applyFont="1" applyAlignment="1">
      <alignment horizontal="left"/>
    </xf>
    <xf numFmtId="0" fontId="18" fillId="0" borderId="0" xfId="6" applyFont="1" applyAlignment="1">
      <alignment horizontal="right"/>
    </xf>
    <xf numFmtId="164" fontId="19" fillId="4" borderId="47" xfId="6" applyNumberFormat="1" applyFont="1" applyFill="1" applyBorder="1" applyAlignment="1">
      <alignment horizontal="center" vertical="center"/>
    </xf>
    <xf numFmtId="0" fontId="20" fillId="5" borderId="48" xfId="6" applyFont="1" applyFill="1" applyBorder="1" applyAlignment="1">
      <alignment horizontal="left"/>
    </xf>
    <xf numFmtId="0" fontId="21" fillId="5" borderId="48" xfId="6" applyFont="1" applyFill="1" applyBorder="1"/>
    <xf numFmtId="0" fontId="21" fillId="5" borderId="48" xfId="6" applyFont="1" applyFill="1" applyBorder="1" applyAlignment="1">
      <alignment horizontal="right"/>
    </xf>
    <xf numFmtId="0" fontId="20" fillId="5" borderId="48" xfId="6" applyFont="1" applyFill="1" applyBorder="1" applyAlignment="1">
      <alignment vertical="top" textRotation="180"/>
    </xf>
    <xf numFmtId="0" fontId="20" fillId="5" borderId="49" xfId="6" applyFont="1" applyFill="1" applyBorder="1" applyAlignment="1">
      <alignment vertical="top" textRotation="180"/>
    </xf>
    <xf numFmtId="0" fontId="14" fillId="0" borderId="0" xfId="6" applyFont="1"/>
    <xf numFmtId="0" fontId="20" fillId="5" borderId="50" xfId="6" applyFont="1" applyFill="1" applyBorder="1" applyAlignment="1">
      <alignment vertical="center"/>
    </xf>
    <xf numFmtId="0" fontId="14" fillId="6" borderId="51" xfId="6" applyFont="1" applyFill="1" applyBorder="1" applyAlignment="1">
      <alignment horizontal="left" vertical="top"/>
    </xf>
    <xf numFmtId="0" fontId="18" fillId="6" borderId="52" xfId="6" applyFont="1" applyFill="1" applyBorder="1" applyAlignment="1">
      <alignment horizontal="center" vertical="top"/>
    </xf>
    <xf numFmtId="0" fontId="18" fillId="6" borderId="53" xfId="6" applyFont="1" applyFill="1" applyBorder="1" applyAlignment="1">
      <alignment horizontal="right" vertical="top"/>
    </xf>
    <xf numFmtId="0" fontId="16" fillId="7" borderId="0" xfId="6" applyFont="1" applyFill="1" applyAlignment="1">
      <alignment horizontal="right"/>
    </xf>
    <xf numFmtId="0" fontId="22" fillId="0" borderId="54" xfId="6" applyFont="1" applyBorder="1" applyAlignment="1">
      <alignment horizontal="center"/>
    </xf>
    <xf numFmtId="0" fontId="22" fillId="0" borderId="55" xfId="6" applyFont="1" applyBorder="1" applyAlignment="1">
      <alignment horizontal="center"/>
    </xf>
    <xf numFmtId="0" fontId="20" fillId="5" borderId="56" xfId="6" applyFont="1" applyFill="1" applyBorder="1" applyAlignment="1">
      <alignment vertical="center"/>
    </xf>
    <xf numFmtId="0" fontId="14" fillId="6" borderId="29" xfId="6" applyFont="1" applyFill="1" applyBorder="1" applyAlignment="1">
      <alignment horizontal="left" vertical="top"/>
    </xf>
    <xf numFmtId="0" fontId="18" fillId="6" borderId="30" xfId="6" applyFont="1" applyFill="1" applyBorder="1" applyAlignment="1">
      <alignment horizontal="center" vertical="top"/>
    </xf>
    <xf numFmtId="0" fontId="18" fillId="6" borderId="31" xfId="6" applyFont="1" applyFill="1" applyBorder="1" applyAlignment="1">
      <alignment horizontal="right" vertical="top"/>
    </xf>
    <xf numFmtId="0" fontId="22" fillId="0" borderId="57" xfId="6" applyFont="1" applyBorder="1" applyAlignment="1">
      <alignment horizontal="center"/>
    </xf>
    <xf numFmtId="0" fontId="22" fillId="0" borderId="58" xfId="6" applyFont="1" applyBorder="1" applyAlignment="1">
      <alignment horizontal="center"/>
    </xf>
    <xf numFmtId="0" fontId="18" fillId="7" borderId="0" xfId="6" applyFont="1" applyFill="1" applyAlignment="1">
      <alignment horizontal="right"/>
    </xf>
    <xf numFmtId="0" fontId="18" fillId="6" borderId="31" xfId="6" quotePrefix="1" applyFont="1" applyFill="1" applyBorder="1" applyAlignment="1">
      <alignment horizontal="right" vertical="top"/>
    </xf>
    <xf numFmtId="0" fontId="14" fillId="0" borderId="0" xfId="6" applyFont="1" applyAlignment="1">
      <alignment horizontal="center"/>
    </xf>
    <xf numFmtId="0" fontId="20" fillId="5" borderId="50" xfId="6" applyFont="1" applyFill="1" applyBorder="1" applyAlignment="1">
      <alignment vertical="top"/>
    </xf>
    <xf numFmtId="0" fontId="14" fillId="6" borderId="51" xfId="6" applyFont="1" applyFill="1" applyBorder="1"/>
    <xf numFmtId="0" fontId="14" fillId="6" borderId="52" xfId="6" applyFont="1" applyFill="1" applyBorder="1"/>
    <xf numFmtId="0" fontId="18" fillId="6" borderId="53" xfId="6" applyFont="1" applyFill="1" applyBorder="1" applyAlignment="1">
      <alignment horizontal="right"/>
    </xf>
    <xf numFmtId="0" fontId="18" fillId="7" borderId="54" xfId="6" applyFont="1" applyFill="1" applyBorder="1" applyAlignment="1">
      <alignment horizontal="left"/>
    </xf>
    <xf numFmtId="0" fontId="20" fillId="5" borderId="56" xfId="6" applyFont="1" applyFill="1" applyBorder="1" applyAlignment="1">
      <alignment vertical="top"/>
    </xf>
    <xf numFmtId="0" fontId="14" fillId="6" borderId="29" xfId="6" applyFont="1" applyFill="1" applyBorder="1"/>
    <xf numFmtId="0" fontId="18" fillId="6" borderId="30" xfId="6" applyFont="1" applyFill="1" applyBorder="1"/>
    <xf numFmtId="0" fontId="18" fillId="6" borderId="31" xfId="6" applyFont="1" applyFill="1" applyBorder="1" applyAlignment="1">
      <alignment horizontal="right"/>
    </xf>
    <xf numFmtId="0" fontId="18" fillId="7" borderId="57" xfId="6" applyFont="1" applyFill="1" applyBorder="1" applyAlignment="1">
      <alignment horizontal="left"/>
    </xf>
    <xf numFmtId="0" fontId="23" fillId="6" borderId="30" xfId="6" applyFont="1" applyFill="1" applyBorder="1"/>
    <xf numFmtId="0" fontId="18" fillId="7" borderId="57" xfId="6" applyFont="1" applyFill="1" applyBorder="1"/>
    <xf numFmtId="0" fontId="18" fillId="0" borderId="59" xfId="6" applyFont="1" applyBorder="1" applyAlignment="1">
      <alignment horizontal="left"/>
    </xf>
    <xf numFmtId="0" fontId="18" fillId="0" borderId="59" xfId="6" applyFont="1" applyBorder="1" applyAlignment="1">
      <alignment horizontal="center"/>
    </xf>
    <xf numFmtId="0" fontId="18" fillId="0" borderId="60" xfId="6" applyFont="1" applyBorder="1" applyAlignment="1">
      <alignment horizontal="center"/>
    </xf>
    <xf numFmtId="0" fontId="24" fillId="0" borderId="57" xfId="6" applyFont="1" applyBorder="1" applyAlignment="1">
      <alignment horizontal="left"/>
    </xf>
    <xf numFmtId="0" fontId="18" fillId="0" borderId="57" xfId="6" applyFont="1" applyBorder="1" applyAlignment="1">
      <alignment horizontal="center"/>
    </xf>
    <xf numFmtId="0" fontId="18" fillId="0" borderId="58" xfId="6" applyFont="1" applyBorder="1" applyAlignment="1">
      <alignment horizontal="center"/>
    </xf>
    <xf numFmtId="165" fontId="18" fillId="0" borderId="57" xfId="6" applyNumberFormat="1" applyFont="1" applyBorder="1" applyAlignment="1">
      <alignment vertical="top" textRotation="255"/>
    </xf>
    <xf numFmtId="166" fontId="18" fillId="0" borderId="57" xfId="6" applyNumberFormat="1" applyFont="1" applyBorder="1" applyAlignment="1">
      <alignment vertical="top" textRotation="255"/>
    </xf>
    <xf numFmtId="166" fontId="18" fillId="0" borderId="58" xfId="6" applyNumberFormat="1" applyFont="1" applyBorder="1" applyAlignment="1">
      <alignment vertical="top" textRotation="255"/>
    </xf>
    <xf numFmtId="0" fontId="20" fillId="5" borderId="61" xfId="6" applyFont="1" applyFill="1" applyBorder="1" applyAlignment="1">
      <alignment vertical="top"/>
    </xf>
    <xf numFmtId="0" fontId="18" fillId="0" borderId="62" xfId="6" applyFont="1" applyBorder="1"/>
    <xf numFmtId="0" fontId="18" fillId="0" borderId="62" xfId="6" applyFont="1" applyBorder="1" applyAlignment="1">
      <alignment textRotation="255"/>
    </xf>
    <xf numFmtId="0" fontId="18" fillId="0" borderId="63" xfId="6" applyFont="1" applyBorder="1" applyAlignment="1">
      <alignment textRotation="255"/>
    </xf>
    <xf numFmtId="0" fontId="18" fillId="2" borderId="41" xfId="6" applyFont="1" applyFill="1" applyBorder="1" applyAlignment="1">
      <alignment horizontal="center" vertical="center"/>
    </xf>
    <xf numFmtId="0" fontId="18" fillId="2" borderId="42" xfId="6" applyFont="1" applyFill="1" applyBorder="1" applyAlignment="1">
      <alignment horizontal="center" vertical="center"/>
    </xf>
    <xf numFmtId="0" fontId="18" fillId="2" borderId="40" xfId="6" applyFont="1" applyFill="1" applyBorder="1" applyAlignment="1">
      <alignment horizontal="center" vertical="center"/>
    </xf>
    <xf numFmtId="0" fontId="18" fillId="2" borderId="43" xfId="6" applyFont="1" applyFill="1" applyBorder="1" applyAlignment="1">
      <alignment horizontal="center" vertical="center"/>
    </xf>
    <xf numFmtId="0" fontId="18" fillId="2" borderId="44" xfId="6" applyFont="1" applyFill="1" applyBorder="1" applyAlignment="1">
      <alignment horizontal="center" vertical="center"/>
    </xf>
    <xf numFmtId="0" fontId="18" fillId="2" borderId="45" xfId="6" applyFont="1" applyFill="1" applyBorder="1" applyAlignment="1">
      <alignment horizontal="center" vertical="center"/>
    </xf>
    <xf numFmtId="0" fontId="18" fillId="0" borderId="62" xfId="6" applyFont="1" applyBorder="1" applyAlignment="1">
      <alignment horizontal="left" vertical="top"/>
    </xf>
    <xf numFmtId="0" fontId="18" fillId="0" borderId="59" xfId="6" applyFont="1" applyBorder="1" applyAlignment="1">
      <alignment horizontal="left"/>
    </xf>
    <xf numFmtId="0" fontId="18" fillId="0" borderId="57" xfId="6" applyFont="1" applyBorder="1" applyAlignment="1">
      <alignment horizontal="left"/>
    </xf>
    <xf numFmtId="0" fontId="18" fillId="0" borderId="57" xfId="6" applyFont="1" applyBorder="1" applyAlignment="1">
      <alignment horizontal="left" vertical="top"/>
    </xf>
    <xf numFmtId="0" fontId="15" fillId="2" borderId="26" xfId="5" applyFont="1" applyFill="1" applyBorder="1" applyAlignment="1">
      <alignment horizontal="left" wrapText="1"/>
    </xf>
    <xf numFmtId="0" fontId="16" fillId="2" borderId="27" xfId="5" applyFont="1" applyFill="1" applyBorder="1" applyAlignment="1">
      <alignment horizontal="left" wrapText="1"/>
    </xf>
    <xf numFmtId="0" fontId="16" fillId="2" borderId="28" xfId="5" applyFont="1" applyFill="1" applyBorder="1" applyAlignment="1">
      <alignment horizontal="left" wrapText="1"/>
    </xf>
    <xf numFmtId="0" fontId="16" fillId="2" borderId="1" xfId="5" applyFont="1" applyFill="1" applyBorder="1" applyAlignment="1">
      <alignment horizontal="center" wrapText="1"/>
    </xf>
    <xf numFmtId="0" fontId="16" fillId="2" borderId="2" xfId="5" applyFont="1" applyFill="1" applyBorder="1" applyAlignment="1">
      <alignment horizontal="center" wrapText="1"/>
    </xf>
    <xf numFmtId="0" fontId="16" fillId="2" borderId="35" xfId="5" applyFont="1" applyFill="1" applyBorder="1" applyAlignment="1">
      <alignment horizontal="left" wrapText="1"/>
    </xf>
    <xf numFmtId="0" fontId="16" fillId="2" borderId="36" xfId="5" applyFont="1" applyFill="1" applyBorder="1" applyAlignment="1">
      <alignment horizontal="left" wrapText="1"/>
    </xf>
    <xf numFmtId="0" fontId="14" fillId="2" borderId="2" xfId="6" applyFont="1" applyFill="1" applyBorder="1" applyAlignment="1">
      <alignment horizontal="center" vertical="center" wrapText="1"/>
    </xf>
    <xf numFmtId="0" fontId="18" fillId="2" borderId="39" xfId="6" applyFont="1" applyFill="1" applyBorder="1" applyAlignment="1">
      <alignment horizontal="center" vertical="center"/>
    </xf>
    <xf numFmtId="0" fontId="14" fillId="2" borderId="25" xfId="5" applyFont="1" applyFill="1" applyBorder="1" applyAlignment="1">
      <alignment horizontal="left" wrapText="1"/>
    </xf>
    <xf numFmtId="0" fontId="14" fillId="2" borderId="3" xfId="5" applyFont="1" applyFill="1" applyBorder="1" applyAlignment="1">
      <alignment horizontal="left" wrapText="1"/>
    </xf>
    <xf numFmtId="0" fontId="14" fillId="2" borderId="25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14" fillId="2" borderId="1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 wrapText="1"/>
    </xf>
    <xf numFmtId="0" fontId="14" fillId="2" borderId="37" xfId="6" applyFont="1" applyFill="1" applyBorder="1" applyAlignment="1">
      <alignment horizontal="center" vertical="center" wrapText="1"/>
    </xf>
    <xf numFmtId="0" fontId="14" fillId="2" borderId="33" xfId="6" applyFont="1" applyFill="1" applyBorder="1" applyAlignment="1">
      <alignment horizontal="center" vertical="center" wrapText="1"/>
    </xf>
    <xf numFmtId="0" fontId="14" fillId="2" borderId="38" xfId="6" applyFont="1" applyFill="1" applyBorder="1" applyAlignment="1">
      <alignment horizontal="center" vertical="center" wrapText="1"/>
    </xf>
    <xf numFmtId="0" fontId="14" fillId="2" borderId="29" xfId="5" applyFont="1" applyFill="1" applyBorder="1" applyAlignment="1">
      <alignment horizontal="left" wrapText="1"/>
    </xf>
    <xf numFmtId="0" fontId="14" fillId="2" borderId="30" xfId="5" applyFont="1" applyFill="1" applyBorder="1" applyAlignment="1">
      <alignment horizontal="left" wrapText="1"/>
    </xf>
    <xf numFmtId="0" fontId="14" fillId="2" borderId="31" xfId="5" applyFont="1" applyFill="1" applyBorder="1" applyAlignment="1">
      <alignment horizontal="left" wrapText="1"/>
    </xf>
    <xf numFmtId="0" fontId="15" fillId="2" borderId="27" xfId="5" applyFont="1" applyFill="1" applyBorder="1" applyAlignment="1">
      <alignment horizontal="center" wrapText="1"/>
    </xf>
    <xf numFmtId="0" fontId="16" fillId="2" borderId="27" xfId="5" applyFont="1" applyFill="1" applyBorder="1" applyAlignment="1">
      <alignment horizontal="center" wrapText="1"/>
    </xf>
    <xf numFmtId="0" fontId="16" fillId="2" borderId="32" xfId="5" applyFont="1" applyFill="1" applyBorder="1" applyAlignment="1">
      <alignment horizontal="center" wrapText="1"/>
    </xf>
    <xf numFmtId="0" fontId="18" fillId="2" borderId="33" xfId="5" applyFont="1" applyFill="1" applyBorder="1" applyAlignment="1">
      <alignment horizontal="center" wrapText="1"/>
    </xf>
    <xf numFmtId="0" fontId="18" fillId="2" borderId="2" xfId="5" applyFont="1" applyFill="1" applyBorder="1" applyAlignment="1">
      <alignment horizontal="center" wrapText="1"/>
    </xf>
    <xf numFmtId="0" fontId="18" fillId="2" borderId="34" xfId="5" applyFont="1" applyFill="1" applyBorder="1" applyAlignment="1">
      <alignment horizontal="center" wrapText="1"/>
    </xf>
    <xf numFmtId="0" fontId="14" fillId="2" borderId="18" xfId="5" applyFont="1" applyFill="1" applyBorder="1" applyAlignment="1">
      <alignment horizontal="left" wrapText="1"/>
    </xf>
    <xf numFmtId="0" fontId="14" fillId="2" borderId="19" xfId="5" applyFont="1" applyFill="1" applyBorder="1" applyAlignment="1">
      <alignment horizontal="left" wrapText="1"/>
    </xf>
    <xf numFmtId="49" fontId="15" fillId="2" borderId="20" xfId="5" applyNumberFormat="1" applyFont="1" applyFill="1" applyBorder="1" applyAlignment="1">
      <alignment horizontal="left" wrapText="1"/>
    </xf>
    <xf numFmtId="0" fontId="16" fillId="2" borderId="19" xfId="5" applyFont="1" applyFill="1" applyBorder="1" applyAlignment="1">
      <alignment horizontal="left" wrapText="1"/>
    </xf>
    <xf numFmtId="0" fontId="16" fillId="2" borderId="21" xfId="5" applyFont="1" applyFill="1" applyBorder="1" applyAlignment="1">
      <alignment horizontal="left" wrapText="1"/>
    </xf>
    <xf numFmtId="0" fontId="14" fillId="2" borderId="22" xfId="5" applyFont="1" applyFill="1" applyBorder="1" applyAlignment="1">
      <alignment horizontal="left" wrapText="1"/>
    </xf>
    <xf numFmtId="0" fontId="14" fillId="2" borderId="23" xfId="5" applyFont="1" applyFill="1" applyBorder="1" applyAlignment="1">
      <alignment horizontal="left" wrapText="1"/>
    </xf>
    <xf numFmtId="49" fontId="17" fillId="2" borderId="20" xfId="5" applyNumberFormat="1" applyFont="1" applyFill="1" applyBorder="1" applyAlignment="1">
      <alignment horizontal="center" wrapText="1"/>
    </xf>
    <xf numFmtId="0" fontId="18" fillId="2" borderId="19" xfId="5" applyFont="1" applyFill="1" applyBorder="1" applyAlignment="1">
      <alignment horizontal="center" wrapText="1"/>
    </xf>
    <xf numFmtId="0" fontId="18" fillId="2" borderId="24" xfId="5" applyFont="1" applyFill="1" applyBorder="1" applyAlignment="1">
      <alignment horizontal="center" wrapText="1"/>
    </xf>
    <xf numFmtId="1" fontId="7" fillId="2" borderId="1" xfId="2" applyNumberFormat="1" applyFont="1" applyFill="1" applyBorder="1"/>
    <xf numFmtId="0" fontId="8" fillId="2" borderId="1" xfId="2" applyFont="1" applyFill="1" applyBorder="1" applyAlignment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1" fontId="7" fillId="2" borderId="1" xfId="2" applyNumberFormat="1" applyFont="1" applyFill="1" applyBorder="1" applyAlignment="1">
      <alignment horizontal="left"/>
    </xf>
    <xf numFmtId="1" fontId="7" fillId="2" borderId="2" xfId="2" applyNumberFormat="1" applyFont="1" applyFill="1" applyBorder="1" applyAlignment="1">
      <alignment horizontal="left"/>
    </xf>
    <xf numFmtId="1" fontId="7" fillId="2" borderId="3" xfId="2" applyNumberFormat="1" applyFont="1" applyFill="1" applyBorder="1" applyAlignment="1">
      <alignment horizontal="left"/>
    </xf>
    <xf numFmtId="1" fontId="7" fillId="2" borderId="4" xfId="2" applyNumberFormat="1" applyFont="1" applyFill="1" applyBorder="1" applyAlignment="1">
      <alignment vertical="center" wrapText="1"/>
    </xf>
    <xf numFmtId="0" fontId="8" fillId="2" borderId="1" xfId="2" applyFont="1" applyFill="1" applyBorder="1" applyAlignment="1">
      <alignment horizontal="left" vertical="top" wrapText="1"/>
    </xf>
    <xf numFmtId="0" fontId="8" fillId="2" borderId="2" xfId="2" applyFont="1" applyFill="1" applyBorder="1" applyAlignment="1">
      <alignment horizontal="left" vertical="top" wrapText="1"/>
    </xf>
    <xf numFmtId="0" fontId="8" fillId="2" borderId="3" xfId="2" applyFont="1" applyFill="1" applyBorder="1" applyAlignment="1">
      <alignment horizontal="left" vertical="top" wrapText="1"/>
    </xf>
    <xf numFmtId="0" fontId="17" fillId="0" borderId="57" xfId="6" quotePrefix="1" applyFont="1" applyBorder="1"/>
    <xf numFmtId="0" fontId="17" fillId="6" borderId="31" xfId="6" quotePrefix="1" applyFont="1" applyFill="1" applyBorder="1" applyAlignment="1">
      <alignment horizontal="right" vertical="top"/>
    </xf>
  </cellXfs>
  <cellStyles count="7">
    <cellStyle name="Hyperlink" xfId="1" builtinId="8"/>
    <cellStyle name="Hyperlink 2" xfId="4" xr:uid="{CD7DB5E1-7A0B-4AB3-9F90-1BEE3E080BA1}"/>
    <cellStyle name="Normal" xfId="0" builtinId="0"/>
    <cellStyle name="Normal 2" xfId="3" xr:uid="{2B88D074-DE3C-42F4-976B-B9CF4F9CD8C7}"/>
    <cellStyle name="Normal_Sheet1" xfId="5" xr:uid="{2383389C-88BB-471A-8792-824DEC19C63D}"/>
    <cellStyle name="Normal_Template_UnitTest Case_v0.9" xfId="6" xr:uid="{8045271E-53C2-4E6A-AF64-FC092738D489}"/>
    <cellStyle name="Normal_Template_UnitTest Case_v0.9 2" xfId="2" xr:uid="{811044A5-39A9-466B-B3B9-FED67E5DE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4C88-7DD2-4536-A379-F11BADA81783}">
  <dimension ref="A1:H115"/>
  <sheetViews>
    <sheetView topLeftCell="A5" workbookViewId="0">
      <selection activeCell="F11" sqref="F11"/>
    </sheetView>
  </sheetViews>
  <sheetFormatPr defaultRowHeight="14.4"/>
  <cols>
    <col min="2" max="2" width="15" customWidth="1"/>
    <col min="3" max="3" width="15.88671875" customWidth="1"/>
    <col min="4" max="4" width="19.109375" customWidth="1"/>
    <col min="5" max="5" width="19.44140625" customWidth="1"/>
    <col min="6" max="6" width="17.44140625" customWidth="1"/>
    <col min="7" max="7" width="14.6640625" customWidth="1"/>
    <col min="8" max="8" width="20.6640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4.6">
      <c r="A2" s="2"/>
      <c r="B2" s="2"/>
      <c r="C2" s="2"/>
      <c r="D2" s="3"/>
      <c r="E2" s="4" t="s">
        <v>0</v>
      </c>
      <c r="F2" s="4"/>
      <c r="G2" s="5"/>
      <c r="H2" s="3"/>
    </row>
    <row r="3" spans="1:8">
      <c r="A3" s="2"/>
      <c r="B3" s="2"/>
      <c r="C3" s="2"/>
      <c r="D3" s="3"/>
      <c r="E3" s="3"/>
      <c r="F3" s="6"/>
      <c r="G3" s="6"/>
      <c r="H3" s="3"/>
    </row>
    <row r="4" spans="1:8">
      <c r="A4" s="138" t="s">
        <v>1</v>
      </c>
      <c r="B4" s="138"/>
      <c r="C4" s="138"/>
      <c r="D4" s="138"/>
      <c r="E4" s="139" t="s">
        <v>2</v>
      </c>
      <c r="F4" s="140"/>
      <c r="G4" s="140"/>
      <c r="H4" s="141"/>
    </row>
    <row r="5" spans="1:8">
      <c r="A5" s="138" t="s">
        <v>3</v>
      </c>
      <c r="B5" s="138"/>
      <c r="C5" s="138"/>
      <c r="D5" s="138"/>
      <c r="E5" s="139" t="s">
        <v>4</v>
      </c>
      <c r="F5" s="140"/>
      <c r="G5" s="140"/>
      <c r="H5" s="141"/>
    </row>
    <row r="6" spans="1:8">
      <c r="A6" s="142" t="s">
        <v>5</v>
      </c>
      <c r="B6" s="143"/>
      <c r="C6" s="143"/>
      <c r="D6" s="144"/>
      <c r="E6" s="7">
        <v>5</v>
      </c>
      <c r="F6" s="8"/>
      <c r="G6" s="8"/>
      <c r="H6" s="9"/>
    </row>
    <row r="7" spans="1:8">
      <c r="A7" s="145" t="s">
        <v>6</v>
      </c>
      <c r="B7" s="145"/>
      <c r="C7" s="145"/>
      <c r="D7" s="145"/>
      <c r="E7" s="146" t="s">
        <v>68</v>
      </c>
      <c r="F7" s="147"/>
      <c r="G7" s="147"/>
      <c r="H7" s="148"/>
    </row>
    <row r="8" spans="1:8">
      <c r="A8" s="10"/>
      <c r="B8" s="10"/>
      <c r="C8" s="10"/>
      <c r="D8" s="11"/>
      <c r="E8" s="12"/>
      <c r="F8" s="11"/>
      <c r="G8" s="11"/>
      <c r="H8" s="11"/>
    </row>
    <row r="9" spans="1:8">
      <c r="A9" s="13"/>
      <c r="B9" s="13"/>
      <c r="C9" s="13"/>
      <c r="D9" s="14"/>
      <c r="E9" s="15"/>
      <c r="F9" s="14"/>
      <c r="G9" s="14"/>
      <c r="H9" s="14"/>
    </row>
    <row r="10" spans="1:8" ht="26.4">
      <c r="A10" s="16" t="s">
        <v>7</v>
      </c>
      <c r="B10" s="17" t="s">
        <v>8</v>
      </c>
      <c r="C10" s="18" t="s">
        <v>9</v>
      </c>
      <c r="D10" s="19" t="s">
        <v>10</v>
      </c>
      <c r="E10" s="20" t="s">
        <v>11</v>
      </c>
      <c r="F10" s="19" t="s">
        <v>12</v>
      </c>
      <c r="G10" s="21" t="s">
        <v>13</v>
      </c>
      <c r="H10" s="22" t="s">
        <v>14</v>
      </c>
    </row>
    <row r="11" spans="1:8">
      <c r="A11" s="23">
        <v>1</v>
      </c>
      <c r="B11" s="24"/>
      <c r="C11" s="24" t="s">
        <v>15</v>
      </c>
      <c r="D11" s="25" t="s">
        <v>16</v>
      </c>
      <c r="E11" s="26" t="s">
        <v>18</v>
      </c>
      <c r="F11" s="27" t="s">
        <v>69</v>
      </c>
      <c r="G11" s="28"/>
      <c r="H11" s="29"/>
    </row>
    <row r="12" spans="1:8">
      <c r="A12" s="23"/>
      <c r="B12" s="24"/>
      <c r="C12" s="24"/>
      <c r="D12" s="25"/>
      <c r="E12" s="26"/>
      <c r="F12" s="28"/>
      <c r="G12" s="28"/>
      <c r="H12" s="29"/>
    </row>
    <row r="13" spans="1:8">
      <c r="A13" s="23"/>
      <c r="B13" s="24"/>
      <c r="C13" s="24"/>
      <c r="D13" s="25"/>
      <c r="E13" s="26"/>
      <c r="F13" s="28"/>
      <c r="G13" s="28"/>
      <c r="H13" s="29"/>
    </row>
    <row r="14" spans="1:8">
      <c r="A14" s="23"/>
      <c r="B14" s="24"/>
      <c r="C14" s="24"/>
      <c r="D14" s="25"/>
      <c r="E14" s="26"/>
      <c r="F14" s="28"/>
      <c r="G14" s="28"/>
      <c r="H14" s="29"/>
    </row>
    <row r="15" spans="1:8">
      <c r="A15" s="23"/>
      <c r="B15" s="24"/>
      <c r="C15" s="24"/>
      <c r="D15" s="25"/>
      <c r="E15" s="26"/>
      <c r="F15" s="28"/>
      <c r="G15" s="28"/>
      <c r="H15" s="29"/>
    </row>
    <row r="16" spans="1:8">
      <c r="A16" s="23"/>
      <c r="B16" s="24"/>
      <c r="C16" s="24"/>
      <c r="D16" s="25"/>
      <c r="E16" s="26"/>
      <c r="F16" s="30"/>
      <c r="G16" s="30"/>
      <c r="H16" s="29"/>
    </row>
    <row r="17" spans="1:8">
      <c r="A17" s="23"/>
      <c r="B17" s="24"/>
      <c r="C17" s="24"/>
      <c r="D17" s="25"/>
      <c r="E17" s="26"/>
      <c r="F17" s="30"/>
      <c r="G17" s="30"/>
      <c r="H17" s="29"/>
    </row>
    <row r="18" spans="1:8">
      <c r="A18" s="23"/>
      <c r="B18" s="24"/>
      <c r="C18" s="24"/>
      <c r="D18" s="25"/>
      <c r="E18" s="26"/>
      <c r="F18" s="30"/>
      <c r="G18" s="30"/>
      <c r="H18" s="29"/>
    </row>
    <row r="19" spans="1:8">
      <c r="A19" s="23"/>
      <c r="B19" s="24"/>
      <c r="C19" s="24"/>
      <c r="D19" s="25"/>
      <c r="E19" s="26"/>
      <c r="F19" s="30"/>
      <c r="G19" s="30"/>
      <c r="H19" s="29"/>
    </row>
    <row r="20" spans="1:8">
      <c r="A20" s="23"/>
      <c r="B20" s="24"/>
      <c r="C20" s="24"/>
      <c r="D20" s="25"/>
      <c r="E20" s="26"/>
      <c r="F20" s="30"/>
      <c r="G20" s="30"/>
      <c r="H20" s="29"/>
    </row>
    <row r="21" spans="1:8">
      <c r="A21" s="23"/>
      <c r="B21" s="24"/>
      <c r="C21" s="24"/>
      <c r="D21" s="25"/>
      <c r="E21" s="26"/>
      <c r="F21" s="30"/>
      <c r="G21" s="30"/>
      <c r="H21" s="29"/>
    </row>
    <row r="22" spans="1:8">
      <c r="A22" s="23"/>
      <c r="B22" s="24"/>
      <c r="C22" s="24"/>
      <c r="D22" s="25"/>
      <c r="E22" s="26"/>
      <c r="F22" s="30"/>
      <c r="G22" s="30"/>
      <c r="H22" s="29"/>
    </row>
    <row r="23" spans="1:8">
      <c r="A23" s="31"/>
      <c r="B23" s="32"/>
      <c r="C23" s="32"/>
      <c r="D23" s="33"/>
      <c r="E23" s="34"/>
      <c r="F23" s="35"/>
      <c r="G23" s="35"/>
      <c r="H23" s="36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</sheetData>
  <mergeCells count="7">
    <mergeCell ref="A7:D7"/>
    <mergeCell ref="E7:H7"/>
    <mergeCell ref="A4:D4"/>
    <mergeCell ref="E4:H4"/>
    <mergeCell ref="A5:D5"/>
    <mergeCell ref="E5:H5"/>
    <mergeCell ref="A6:D6"/>
  </mergeCells>
  <hyperlinks>
    <hyperlink ref="F11" location="'RegisterAccount()'!A1" display="RegisterAccount()" xr:uid="{8EA25BB5-E294-4EC0-885A-76F67A9A91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E1EA-6362-4CEA-8375-62B25C5B7928}">
  <dimension ref="A1:U37"/>
  <sheetViews>
    <sheetView tabSelected="1" zoomScale="91" workbookViewId="0">
      <selection activeCell="F7" sqref="F7:K7"/>
    </sheetView>
  </sheetViews>
  <sheetFormatPr defaultRowHeight="14.4"/>
  <sheetData>
    <row r="1" spans="1:21" ht="15" thickBot="1"/>
    <row r="2" spans="1:21">
      <c r="A2" s="128" t="s">
        <v>17</v>
      </c>
      <c r="B2" s="129"/>
      <c r="C2" s="130" t="s">
        <v>18</v>
      </c>
      <c r="D2" s="131"/>
      <c r="E2" s="132"/>
      <c r="F2" s="133" t="s">
        <v>10</v>
      </c>
      <c r="G2" s="134"/>
      <c r="H2" s="134"/>
      <c r="I2" s="134"/>
      <c r="J2" s="134"/>
      <c r="K2" s="134"/>
      <c r="L2" s="135" t="s">
        <v>19</v>
      </c>
      <c r="M2" s="136"/>
      <c r="N2" s="136"/>
      <c r="O2" s="136"/>
      <c r="P2" s="136"/>
      <c r="Q2" s="136"/>
      <c r="R2" s="136"/>
      <c r="S2" s="136"/>
      <c r="T2" s="137"/>
      <c r="U2" s="37"/>
    </row>
    <row r="3" spans="1:21">
      <c r="A3" s="110" t="s">
        <v>20</v>
      </c>
      <c r="B3" s="111"/>
      <c r="C3" s="101" t="s">
        <v>70</v>
      </c>
      <c r="D3" s="102"/>
      <c r="E3" s="103"/>
      <c r="F3" s="119" t="s">
        <v>21</v>
      </c>
      <c r="G3" s="120"/>
      <c r="H3" s="120"/>
      <c r="I3" s="120"/>
      <c r="J3" s="120"/>
      <c r="K3" s="121"/>
      <c r="L3" s="122" t="s">
        <v>70</v>
      </c>
      <c r="M3" s="123"/>
      <c r="N3" s="123"/>
      <c r="O3" s="123"/>
      <c r="P3" s="123"/>
      <c r="Q3" s="123"/>
      <c r="R3" s="123"/>
      <c r="S3" s="123"/>
      <c r="T3" s="124"/>
      <c r="U3" s="37"/>
    </row>
    <row r="4" spans="1:21">
      <c r="A4" s="110" t="s">
        <v>22</v>
      </c>
      <c r="B4" s="111"/>
      <c r="C4" s="104"/>
      <c r="D4" s="105"/>
      <c r="E4" s="38"/>
      <c r="F4" s="119" t="s">
        <v>23</v>
      </c>
      <c r="G4" s="120"/>
      <c r="H4" s="120"/>
      <c r="I4" s="120"/>
      <c r="J4" s="120"/>
      <c r="K4" s="121"/>
      <c r="L4" s="125">
        <v>0</v>
      </c>
      <c r="M4" s="126"/>
      <c r="N4" s="126"/>
      <c r="O4" s="126"/>
      <c r="P4" s="126"/>
      <c r="Q4" s="126"/>
      <c r="R4" s="126"/>
      <c r="S4" s="126"/>
      <c r="T4" s="127"/>
      <c r="U4" s="37"/>
    </row>
    <row r="5" spans="1:21">
      <c r="A5" s="110" t="s">
        <v>24</v>
      </c>
      <c r="B5" s="111"/>
      <c r="C5" s="106" t="s">
        <v>25</v>
      </c>
      <c r="D5" s="106"/>
      <c r="E5" s="106"/>
      <c r="F5" s="107"/>
      <c r="G5" s="107"/>
      <c r="H5" s="107"/>
      <c r="I5" s="107"/>
      <c r="J5" s="107"/>
      <c r="K5" s="107"/>
      <c r="L5" s="106"/>
      <c r="M5" s="106"/>
      <c r="N5" s="106"/>
      <c r="O5" s="106"/>
      <c r="P5" s="106"/>
      <c r="Q5" s="106"/>
      <c r="R5" s="106"/>
      <c r="S5" s="106"/>
      <c r="T5" s="106"/>
      <c r="U5" s="37"/>
    </row>
    <row r="6" spans="1:21" ht="14.4" customHeight="1">
      <c r="A6" s="112" t="s">
        <v>26</v>
      </c>
      <c r="B6" s="113"/>
      <c r="C6" s="114" t="s">
        <v>27</v>
      </c>
      <c r="D6" s="108"/>
      <c r="E6" s="115"/>
      <c r="F6" s="114" t="s">
        <v>28</v>
      </c>
      <c r="G6" s="108"/>
      <c r="H6" s="108"/>
      <c r="I6" s="108"/>
      <c r="J6" s="108"/>
      <c r="K6" s="116"/>
      <c r="L6" s="117" t="s">
        <v>29</v>
      </c>
      <c r="M6" s="108"/>
      <c r="N6" s="116"/>
      <c r="O6" s="117" t="s">
        <v>30</v>
      </c>
      <c r="P6" s="108"/>
      <c r="Q6" s="108"/>
      <c r="R6" s="108"/>
      <c r="S6" s="108"/>
      <c r="T6" s="118"/>
      <c r="U6" s="37"/>
    </row>
    <row r="7" spans="1:21" ht="15" thickBot="1">
      <c r="A7" s="109">
        <f>COUNTIF(F34:HQ34,"P")</f>
        <v>5</v>
      </c>
      <c r="B7" s="93"/>
      <c r="C7" s="91">
        <f>COUNTIF(F34:HQ34,"F")</f>
        <v>0</v>
      </c>
      <c r="D7" s="92"/>
      <c r="E7" s="93"/>
      <c r="F7" s="91">
        <f>SUM(O7,-A7,-C7)</f>
        <v>0</v>
      </c>
      <c r="G7" s="92"/>
      <c r="H7" s="92"/>
      <c r="I7" s="92"/>
      <c r="J7" s="92"/>
      <c r="K7" s="94"/>
      <c r="L7" s="39">
        <f>COUNTIF(E33:HQ33,"N")</f>
        <v>5</v>
      </c>
      <c r="M7" s="39">
        <f>COUNTIF(E33:HQ33,"A")</f>
        <v>0</v>
      </c>
      <c r="N7" s="39">
        <f>COUNTIF(E33:HQ33,"B")</f>
        <v>0</v>
      </c>
      <c r="O7" s="95">
        <f>COUNTA(E9:HT9)</f>
        <v>5</v>
      </c>
      <c r="P7" s="92"/>
      <c r="Q7" s="92"/>
      <c r="R7" s="92"/>
      <c r="S7" s="92"/>
      <c r="T7" s="96"/>
      <c r="U7" s="40"/>
    </row>
    <row r="8" spans="1:21" ht="15" thickBot="1">
      <c r="A8" s="37"/>
      <c r="B8" s="41"/>
      <c r="C8" s="37"/>
      <c r="D8" s="42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1:21" ht="37.200000000000003" thickTop="1" thickBot="1">
      <c r="A9" s="43"/>
      <c r="B9" s="44"/>
      <c r="C9" s="45"/>
      <c r="D9" s="46"/>
      <c r="E9" s="45"/>
      <c r="F9" s="47" t="s">
        <v>31</v>
      </c>
      <c r="G9" s="47" t="s">
        <v>32</v>
      </c>
      <c r="H9" s="47" t="s">
        <v>33</v>
      </c>
      <c r="I9" s="47" t="s">
        <v>34</v>
      </c>
      <c r="J9" s="47" t="s">
        <v>35</v>
      </c>
      <c r="K9" s="47"/>
      <c r="L9" s="47"/>
      <c r="M9" s="47"/>
      <c r="N9" s="47"/>
      <c r="O9" s="47"/>
      <c r="P9" s="47"/>
      <c r="Q9" s="47"/>
      <c r="R9" s="47"/>
      <c r="S9" s="47"/>
      <c r="T9" s="48"/>
      <c r="U9" s="49"/>
    </row>
    <row r="10" spans="1:21" ht="15.6">
      <c r="A10" s="50" t="s">
        <v>36</v>
      </c>
      <c r="B10" s="51" t="s">
        <v>37</v>
      </c>
      <c r="C10" s="52"/>
      <c r="D10" s="5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6"/>
      <c r="U10" s="37"/>
    </row>
    <row r="11" spans="1:21" ht="15.6">
      <c r="A11" s="57"/>
      <c r="B11" s="58"/>
      <c r="C11" s="59"/>
      <c r="D11" s="60" t="s">
        <v>38</v>
      </c>
      <c r="E11" s="54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2"/>
      <c r="U11" s="37"/>
    </row>
    <row r="12" spans="1:21" ht="15.6">
      <c r="A12" s="57"/>
      <c r="B12" s="58" t="s">
        <v>39</v>
      </c>
      <c r="C12" s="59"/>
      <c r="D12" s="60"/>
      <c r="E12" s="63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2"/>
      <c r="U12" s="37"/>
    </row>
    <row r="13" spans="1:21" ht="15.6">
      <c r="A13" s="57"/>
      <c r="B13" s="58"/>
      <c r="C13" s="59"/>
      <c r="D13" s="64" t="s">
        <v>40</v>
      </c>
      <c r="E13" s="63"/>
      <c r="F13" s="61" t="s">
        <v>41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2"/>
      <c r="U13" s="37"/>
    </row>
    <row r="14" spans="1:21" ht="15.6">
      <c r="A14" s="57"/>
      <c r="B14" s="58"/>
      <c r="C14" s="59"/>
      <c r="D14" s="60" t="s">
        <v>42</v>
      </c>
      <c r="E14" s="63"/>
      <c r="F14" s="61"/>
      <c r="G14" s="61" t="s">
        <v>41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2"/>
      <c r="U14" s="37"/>
    </row>
    <row r="15" spans="1:21" ht="15.6">
      <c r="A15" s="57"/>
      <c r="B15" s="58"/>
      <c r="C15" s="59"/>
      <c r="D15" s="64" t="s">
        <v>43</v>
      </c>
      <c r="E15" s="63"/>
      <c r="F15" s="61"/>
      <c r="G15" s="61"/>
      <c r="H15" s="61" t="s">
        <v>41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2"/>
      <c r="U15" s="37"/>
    </row>
    <row r="16" spans="1:21" ht="15.6">
      <c r="A16" s="57"/>
      <c r="B16" s="58"/>
      <c r="C16" s="59"/>
      <c r="D16" s="64" t="s">
        <v>44</v>
      </c>
      <c r="E16" s="63"/>
      <c r="F16" s="61"/>
      <c r="G16" s="61"/>
      <c r="H16" s="61"/>
      <c r="I16" s="61" t="s">
        <v>41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37"/>
    </row>
    <row r="17" spans="1:21" ht="15.6">
      <c r="A17" s="57"/>
      <c r="B17" s="58"/>
      <c r="C17" s="59"/>
      <c r="D17" s="64" t="s">
        <v>45</v>
      </c>
      <c r="E17" s="63"/>
      <c r="F17" s="61"/>
      <c r="G17" s="61"/>
      <c r="H17" s="61"/>
      <c r="I17" s="61"/>
      <c r="J17" s="61" t="s">
        <v>41</v>
      </c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65"/>
    </row>
    <row r="18" spans="1:21" ht="15.6">
      <c r="A18" s="57"/>
      <c r="B18" s="58" t="s">
        <v>46</v>
      </c>
      <c r="C18" s="59"/>
      <c r="D18" s="60"/>
      <c r="E18" s="63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  <c r="U18" s="65"/>
    </row>
    <row r="19" spans="1:21" ht="15.6">
      <c r="A19" s="57"/>
      <c r="B19" s="58"/>
      <c r="C19" s="59"/>
      <c r="D19" s="150" t="s">
        <v>47</v>
      </c>
      <c r="E19" s="63"/>
      <c r="F19" s="61" t="s">
        <v>41</v>
      </c>
      <c r="G19" s="61" t="s">
        <v>41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37"/>
    </row>
    <row r="20" spans="1:21" ht="15.6">
      <c r="A20" s="57"/>
      <c r="B20" s="58"/>
      <c r="C20" s="59"/>
      <c r="D20" s="64" t="s">
        <v>48</v>
      </c>
      <c r="E20" s="63"/>
      <c r="F20" s="61"/>
      <c r="G20" s="61"/>
      <c r="H20" s="61" t="s">
        <v>41</v>
      </c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37"/>
    </row>
    <row r="21" spans="1:21" ht="15.6">
      <c r="A21" s="57"/>
      <c r="B21" s="58"/>
      <c r="C21" s="59"/>
      <c r="D21" s="64" t="s">
        <v>49</v>
      </c>
      <c r="E21" s="63"/>
      <c r="F21" s="61"/>
      <c r="G21" s="61"/>
      <c r="H21" s="61"/>
      <c r="I21" s="61" t="s">
        <v>41</v>
      </c>
      <c r="J21" s="61" t="s">
        <v>41</v>
      </c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37"/>
    </row>
    <row r="22" spans="1:21" ht="15.6">
      <c r="A22" s="57"/>
      <c r="B22" s="58" t="s">
        <v>50</v>
      </c>
      <c r="C22" s="59"/>
      <c r="D22" s="60"/>
      <c r="E22" s="63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37"/>
    </row>
    <row r="23" spans="1:21" ht="15.6">
      <c r="A23" s="57"/>
      <c r="B23" s="58"/>
      <c r="C23" s="59"/>
      <c r="D23" s="64" t="s">
        <v>51</v>
      </c>
      <c r="E23" s="63"/>
      <c r="F23" s="61" t="s">
        <v>41</v>
      </c>
      <c r="G23" s="61" t="s">
        <v>41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37"/>
    </row>
    <row r="24" spans="1:21" ht="15.6">
      <c r="A24" s="57"/>
      <c r="B24" s="58"/>
      <c r="C24" s="59"/>
      <c r="D24" s="64" t="s">
        <v>52</v>
      </c>
      <c r="E24" s="63"/>
      <c r="F24" s="61"/>
      <c r="G24" s="61"/>
      <c r="H24" s="61" t="s">
        <v>41</v>
      </c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37"/>
    </row>
    <row r="25" spans="1:21" ht="15.6">
      <c r="A25" s="57"/>
      <c r="B25" s="58"/>
      <c r="C25" s="59"/>
      <c r="D25" s="64" t="s">
        <v>53</v>
      </c>
      <c r="E25" s="63"/>
      <c r="F25" s="61"/>
      <c r="G25" s="61"/>
      <c r="H25" s="61"/>
      <c r="I25" s="61" t="s">
        <v>41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37"/>
    </row>
    <row r="26" spans="1:21" ht="16.2" thickBot="1">
      <c r="A26" s="57"/>
      <c r="B26" s="58"/>
      <c r="C26" s="59"/>
      <c r="D26" s="64" t="s">
        <v>54</v>
      </c>
      <c r="E26" s="63"/>
      <c r="F26" s="61"/>
      <c r="G26" s="61"/>
      <c r="H26" s="61"/>
      <c r="I26" s="61"/>
      <c r="J26" s="61" t="s">
        <v>41</v>
      </c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37"/>
    </row>
    <row r="27" spans="1:21" ht="15.6">
      <c r="A27" s="66" t="s">
        <v>55</v>
      </c>
      <c r="B27" s="67" t="s">
        <v>56</v>
      </c>
      <c r="C27" s="68"/>
      <c r="D27" s="69"/>
      <c r="E27" s="70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6"/>
      <c r="U27" s="37"/>
    </row>
    <row r="28" spans="1:21" ht="15.6">
      <c r="A28" s="71"/>
      <c r="B28" s="72"/>
      <c r="C28" s="73"/>
      <c r="D28" s="74" t="s">
        <v>57</v>
      </c>
      <c r="E28" s="75"/>
      <c r="F28" s="61" t="s">
        <v>41</v>
      </c>
      <c r="G28" s="61"/>
      <c r="H28" s="61"/>
      <c r="I28" s="61"/>
      <c r="J28" s="61" t="s">
        <v>41</v>
      </c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37"/>
    </row>
    <row r="29" spans="1:21" ht="15.6">
      <c r="A29" s="71"/>
      <c r="B29" s="72"/>
      <c r="C29" s="76"/>
      <c r="D29" s="74" t="s">
        <v>58</v>
      </c>
      <c r="E29" s="77"/>
      <c r="F29" s="61"/>
      <c r="G29" s="61" t="s">
        <v>41</v>
      </c>
      <c r="H29" s="61" t="s">
        <v>41</v>
      </c>
      <c r="I29" s="61" t="s">
        <v>41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37"/>
    </row>
    <row r="30" spans="1:21" ht="15.6">
      <c r="A30" s="71"/>
      <c r="B30" s="72" t="s">
        <v>59</v>
      </c>
      <c r="C30" s="76"/>
      <c r="D30" s="74"/>
      <c r="E30" s="77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37"/>
    </row>
    <row r="31" spans="1:21" ht="15.6">
      <c r="A31" s="71"/>
      <c r="B31" s="72"/>
      <c r="C31" s="76"/>
      <c r="D31" s="74" t="s">
        <v>57</v>
      </c>
      <c r="E31" s="77"/>
      <c r="F31" s="61" t="s">
        <v>41</v>
      </c>
      <c r="G31" s="61"/>
      <c r="H31" s="61"/>
      <c r="I31" s="61"/>
      <c r="J31" s="61" t="s">
        <v>41</v>
      </c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37"/>
    </row>
    <row r="32" spans="1:21" ht="16.2" thickBot="1">
      <c r="A32" s="71"/>
      <c r="B32" s="72"/>
      <c r="C32" s="76"/>
      <c r="D32" s="74" t="s">
        <v>58</v>
      </c>
      <c r="E32" s="77"/>
      <c r="F32" s="61"/>
      <c r="G32" s="61" t="s">
        <v>41</v>
      </c>
      <c r="H32" s="61" t="s">
        <v>41</v>
      </c>
      <c r="I32" s="61" t="s">
        <v>41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37"/>
    </row>
    <row r="33" spans="1:21" ht="15" thickTop="1">
      <c r="A33" s="66" t="s">
        <v>60</v>
      </c>
      <c r="B33" s="98" t="s">
        <v>61</v>
      </c>
      <c r="C33" s="98"/>
      <c r="D33" s="98"/>
      <c r="E33" s="78"/>
      <c r="F33" s="79" t="s">
        <v>62</v>
      </c>
      <c r="G33" s="79" t="s">
        <v>62</v>
      </c>
      <c r="H33" s="79" t="s">
        <v>62</v>
      </c>
      <c r="I33" s="79" t="s">
        <v>62</v>
      </c>
      <c r="J33" s="79" t="s">
        <v>62</v>
      </c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37"/>
    </row>
    <row r="34" spans="1:21">
      <c r="A34" s="71"/>
      <c r="B34" s="99" t="s">
        <v>63</v>
      </c>
      <c r="C34" s="99"/>
      <c r="D34" s="99"/>
      <c r="E34" s="81"/>
      <c r="F34" s="82" t="s">
        <v>64</v>
      </c>
      <c r="G34" s="82" t="s">
        <v>64</v>
      </c>
      <c r="H34" s="82" t="s">
        <v>64</v>
      </c>
      <c r="I34" s="82" t="s">
        <v>64</v>
      </c>
      <c r="J34" s="82" t="s">
        <v>64</v>
      </c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37"/>
    </row>
    <row r="35" spans="1:21" ht="103.2">
      <c r="A35" s="71"/>
      <c r="B35" s="100" t="s">
        <v>65</v>
      </c>
      <c r="C35" s="100"/>
      <c r="D35" s="100"/>
      <c r="E35" s="149"/>
      <c r="F35" s="84" t="s">
        <v>66</v>
      </c>
      <c r="G35" s="85" t="s">
        <v>66</v>
      </c>
      <c r="H35" s="85" t="s">
        <v>66</v>
      </c>
      <c r="I35" s="85" t="s">
        <v>66</v>
      </c>
      <c r="J35" s="85" t="s">
        <v>66</v>
      </c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37"/>
    </row>
    <row r="36" spans="1:21" ht="15" thickBot="1">
      <c r="A36" s="87"/>
      <c r="B36" s="97" t="s">
        <v>67</v>
      </c>
      <c r="C36" s="97"/>
      <c r="D36" s="97"/>
      <c r="E36" s="88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  <c r="U36" s="37"/>
    </row>
    <row r="37" spans="1:21" ht="15" thickTop="1"/>
  </sheetData>
  <mergeCells count="27">
    <mergeCell ref="A2:B2"/>
    <mergeCell ref="C2:E2"/>
    <mergeCell ref="F2:K2"/>
    <mergeCell ref="L2:T2"/>
    <mergeCell ref="C3:E3"/>
    <mergeCell ref="C4:D4"/>
    <mergeCell ref="C5:T5"/>
    <mergeCell ref="L6:N6"/>
    <mergeCell ref="A7:B7"/>
    <mergeCell ref="A5:B5"/>
    <mergeCell ref="A6:B6"/>
    <mergeCell ref="C6:E6"/>
    <mergeCell ref="F6:K6"/>
    <mergeCell ref="O6:T6"/>
    <mergeCell ref="A3:B3"/>
    <mergeCell ref="F3:K3"/>
    <mergeCell ref="L3:T3"/>
    <mergeCell ref="A4:B4"/>
    <mergeCell ref="F4:K4"/>
    <mergeCell ref="L4:T4"/>
    <mergeCell ref="C7:E7"/>
    <mergeCell ref="F7:K7"/>
    <mergeCell ref="O7:T7"/>
    <mergeCell ref="B36:D36"/>
    <mergeCell ref="B33:D33"/>
    <mergeCell ref="B34:D34"/>
    <mergeCell ref="B35:D35"/>
  </mergeCells>
  <dataValidations count="3">
    <dataValidation type="list" allowBlank="1" showInputMessage="1" showErrorMessage="1" sqref="F34:T34" xr:uid="{81F54907-DFC0-4ECE-9471-6BABC733D73C}">
      <formula1>"P,F, "</formula1>
    </dataValidation>
    <dataValidation type="list" allowBlank="1" showInputMessage="1" showErrorMessage="1" sqref="F33:T33" xr:uid="{ED631D6D-EC90-4B91-9ECF-A60B164C2628}">
      <formula1>"N,A,B, "</formula1>
    </dataValidation>
    <dataValidation type="list" allowBlank="1" showInputMessage="1" showErrorMessage="1" sqref="F10:T32" xr:uid="{B9068BD0-E528-442E-87ED-4F743807C408}">
      <formula1>"O,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Function List</vt:lpstr>
      <vt:lpstr>RegisterAccount()</vt:lpstr>
      <vt:lpstr>RegisterAccount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 My Do</dc:creator>
  <cp:lastModifiedBy>Hoan My Do</cp:lastModifiedBy>
  <dcterms:created xsi:type="dcterms:W3CDTF">2026-03-14T04:55:03Z</dcterms:created>
  <dcterms:modified xsi:type="dcterms:W3CDTF">2026-03-14T09:34:47Z</dcterms:modified>
</cp:coreProperties>
</file>